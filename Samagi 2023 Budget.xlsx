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90" windowWidth="14760" windowHeight="4410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calcChain.xml><?xml version="1.0" encoding="utf-8"?>
<calcChain xmlns="http://schemas.openxmlformats.org/spreadsheetml/2006/main">
  <c r="H116" i="1" l="1"/>
  <c r="E130" i="1"/>
  <c r="E139" i="1" s="1"/>
  <c r="E156" i="1"/>
  <c r="E138" i="1"/>
  <c r="D48" i="1"/>
  <c r="J65" i="1"/>
  <c r="E95" i="1"/>
  <c r="E94" i="1"/>
  <c r="E89" i="1"/>
  <c r="D66" i="1"/>
  <c r="I49" i="1" l="1"/>
  <c r="D47" i="1"/>
  <c r="D44" i="1"/>
  <c r="D40" i="1"/>
  <c r="D35" i="1"/>
  <c r="G25" i="1"/>
  <c r="H22" i="1"/>
  <c r="D23" i="1"/>
  <c r="D18" i="1"/>
  <c r="D15" i="1"/>
  <c r="D12" i="1"/>
  <c r="D7" i="1"/>
  <c r="D19" i="1" l="1"/>
  <c r="D25" i="1" s="1"/>
</calcChain>
</file>

<file path=xl/sharedStrings.xml><?xml version="1.0" encoding="utf-8"?>
<sst xmlns="http://schemas.openxmlformats.org/spreadsheetml/2006/main" count="140" uniqueCount="70">
  <si>
    <t>jgmamsáh iu.s wfkHdakHdOdr iqNidOl iñ;sh</t>
  </si>
  <si>
    <r>
      <t xml:space="preserve">2021/2022 </t>
    </r>
    <r>
      <rPr>
        <sz val="11"/>
        <color theme="1"/>
        <rFont val="AA Amali"/>
      </rPr>
      <t>whjeh f,aLkh</t>
    </r>
  </si>
  <si>
    <t>whjeh f,aLkh</t>
  </si>
  <si>
    <t>oskh</t>
  </si>
  <si>
    <t>uqo, re</t>
  </si>
  <si>
    <t>ue,aj;a; l,dmh</t>
  </si>
  <si>
    <t>,eîï</t>
  </si>
  <si>
    <t>f.ùï urK mdrsf;daIs; oSukd idudcsl wxl</t>
  </si>
  <si>
    <t xml:space="preserve"> </t>
  </si>
  <si>
    <t xml:space="preserve">idudcsl uqo,a </t>
  </si>
  <si>
    <t>nexl= fmd&lt;S</t>
  </si>
  <si>
    <t>nexl=fjka ,nd.;a uqo,a</t>
  </si>
  <si>
    <t>õhoï</t>
  </si>
  <si>
    <t>mdrsf;daIsl oSukd ioyd</t>
  </si>
  <si>
    <t xml:space="preserve">úÿ,s ì, </t>
  </si>
  <si>
    <t>jgmamsáh l,dmh</t>
  </si>
  <si>
    <t>ó.ia;ekak l,dmh</t>
  </si>
  <si>
    <t>fmr mdi,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</si>
  <si>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</si>
  <si>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</si>
  <si>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</si>
  <si>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</si>
  <si>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</si>
  <si>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</si>
  <si>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</si>
  <si>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</si>
  <si>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</si>
  <si>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</si>
  <si>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</si>
  <si>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</si>
  <si>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</si>
  <si>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</si>
  <si>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uq,q uqo, re</t>
  </si>
  <si>
    <t>nexl==</t>
  </si>
  <si>
    <t>f.ùñ</t>
  </si>
  <si>
    <t>urK mdrsf;daIs;  140</t>
  </si>
  <si>
    <t>urK mdrsf;daIs;  01</t>
  </si>
  <si>
    <t>urK mdrsf;daIs;  77</t>
  </si>
  <si>
    <t>urK mdrsf;daIs;  52</t>
  </si>
  <si>
    <t>urK mdrsf;daIs;  135</t>
  </si>
  <si>
    <t>urK mdrsf;daIs;  115</t>
  </si>
  <si>
    <t>urK mdrsf;daIs;  137</t>
  </si>
  <si>
    <t>urK mdrsf;daIs;  49</t>
  </si>
  <si>
    <t>urK mdrsf;daIs;  89</t>
  </si>
  <si>
    <t>urK mdrsf;daIs;  85</t>
  </si>
  <si>
    <t>urK mdrsf;daIs;  32</t>
  </si>
  <si>
    <t>urK mdrsf;daIs;  43</t>
  </si>
  <si>
    <t>urK mdrsf;daIs;  05</t>
  </si>
  <si>
    <t>urK mdrsf;daIs;  191</t>
  </si>
  <si>
    <t>urK mdrsf;daIs;  59</t>
  </si>
  <si>
    <t>urK mdrsf;daIs;  184</t>
  </si>
  <si>
    <t>urK mdrsf;daIs;  131</t>
  </si>
  <si>
    <t>nexl= ;ekam;=</t>
  </si>
  <si>
    <t>nexl=fjka wdmiq .ekSï</t>
  </si>
  <si>
    <t>nexl= fYaIh</t>
  </si>
  <si>
    <t>urK mdrsf;daIs; 52</t>
  </si>
  <si>
    <t>urK mdrsf;daIs; 59</t>
  </si>
  <si>
    <t>urK mdrsf;daIs; 68</t>
  </si>
  <si>
    <t>urK mdrsf;daIs; 71</t>
  </si>
  <si>
    <t>urK mdrsf;daIs; 12</t>
  </si>
  <si>
    <t>urK mdrsf;daIs; 03</t>
  </si>
  <si>
    <t>urK mdrsf;daIs; 51</t>
  </si>
  <si>
    <t>urK mdrsf;daIs; 77</t>
  </si>
  <si>
    <t>urK mdrsf;daIs; 171</t>
  </si>
  <si>
    <t>urK mdrsf;daIs; 47</t>
  </si>
  <si>
    <t>urK mdrsf;daIs; 114</t>
  </si>
  <si>
    <t>urK mdrsf;daIs; 01</t>
  </si>
  <si>
    <t>urK mdrsf;daIs; 116</t>
  </si>
  <si>
    <t>urK mdrsf;daIs; 174</t>
  </si>
  <si>
    <t>urK mdrsf;daIs;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</si>
</sst>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FMArjunn"/>
    </font>
    <font>
      <sz val="11"/>
      <color theme="1"/>
      <name val="DL-Paras.."/>
    </font>
    <font>
      <sz val="11"/>
      <color theme="1"/>
      <name val="AA Amali"/>
    </font>
    <font>
      <sz val="10"/>
      <color theme="1"/>
      <name val="DL-Paras..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0" applyFont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0" borderId="4" xfId="0" applyFont="1" applyBorder="1"/>
    <xf numFmtId="0" fontId="2" fillId="2" borderId="2" xfId="0" applyFont="1" applyFill="1" applyBorder="1"/>
    <xf numFmtId="0" fontId="0" fillId="3" borderId="0" xfId="0" applyFill="1"/>
    <xf numFmtId="14" fontId="5" fillId="2" borderId="2" xfId="0" applyNumberFormat="1" applyFont="1" applyFill="1" applyBorder="1"/>
    <xf numFmtId="0" fontId="5" fillId="2" borderId="2" xfId="0" applyFont="1" applyFill="1" applyBorder="1"/>
    <xf numFmtId="0" fontId="5" fillId="3" borderId="2" xfId="0" applyFont="1" applyFill="1" applyBorder="1"/>
    <xf numFmtId="0" fontId="5" fillId="3" borderId="0" xfId="0" applyFont="1" applyFill="1"/>
    <xf numFmtId="0" fontId="2" fillId="2" borderId="1" xfId="0" applyFont="1" applyFill="1" applyBorder="1"/>
    <xf numFmtId="164" fontId="5" fillId="3" borderId="2" xfId="0" applyNumberFormat="1" applyFont="1" applyFill="1" applyBorder="1"/>
    <xf numFmtId="164" fontId="0" fillId="0" borderId="2" xfId="0" applyNumberFormat="1" applyBorder="1"/>
    <xf numFmtId="0" fontId="0" fillId="0" borderId="2" xfId="0" applyFill="1" applyBorder="1"/>
    <xf numFmtId="0" fontId="6" fillId="0" borderId="2" xfId="0" applyFont="1" applyBorder="1"/>
    <xf numFmtId="0" fontId="6" fillId="0" borderId="0" xfId="0" applyFont="1" applyBorder="1"/>
    <xf numFmtId="164" fontId="5" fillId="2" borderId="2" xfId="0" applyNumberFormat="1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N22" totalsRowShown="0">
  <autoFilter ref="A4:N22"/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3"/>
  <sheetViews>
    <sheetView tabSelected="1" topLeftCell="A56" zoomScaleNormal="100" workbookViewId="0">
      <selection activeCell="K96" sqref="K96"/>
    </sheetView>
  </sheetViews>
  <sheetFormatPr defaultRowHeight="15" x14ac:dyDescent="0.25"/>
  <cols>
    <col min="1" max="1" width="11.375" customWidth="1"/>
    <col min="2" max="2" width="15.25" customWidth="1"/>
    <col min="3" max="3" width="13.75" customWidth="1"/>
    <col min="4" max="5" width="11.625" customWidth="1"/>
    <col min="6" max="6" width="10.375" customWidth="1"/>
    <col min="7" max="7" width="19" customWidth="1"/>
    <col min="8" max="8" width="11.625" customWidth="1"/>
    <col min="9" max="9" width="9.75" customWidth="1"/>
    <col min="10" max="14" width="10.75" customWidth="1"/>
  </cols>
  <sheetData>
    <row r="1" spans="1:14" x14ac:dyDescent="0.25">
      <c r="A1" s="2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x14ac:dyDescent="0.25">
      <c r="A2" t="s">
        <v>1</v>
      </c>
      <c r="B2" s="2" t="s">
        <v>2</v>
      </c>
    </row>
    <row r="4" spans="1:14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4" t="s">
        <v>23</v>
      </c>
      <c r="G4" s="2" t="s">
        <v>24</v>
      </c>
      <c r="H4" s="2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1:14" ht="51.75" x14ac:dyDescent="0.25">
      <c r="A5" s="2" t="s">
        <v>3</v>
      </c>
      <c r="B5" s="2" t="s">
        <v>6</v>
      </c>
      <c r="C5" s="2" t="s">
        <v>4</v>
      </c>
      <c r="D5" s="2" t="s">
        <v>4</v>
      </c>
      <c r="E5" s="2" t="s">
        <v>3</v>
      </c>
      <c r="F5" s="4" t="s">
        <v>7</v>
      </c>
      <c r="G5" s="2" t="s">
        <v>4</v>
      </c>
      <c r="H5" s="2" t="s">
        <v>4</v>
      </c>
    </row>
    <row r="6" spans="1:14" x14ac:dyDescent="0.25">
      <c r="A6" s="3">
        <v>44389</v>
      </c>
      <c r="B6" s="2" t="s">
        <v>5</v>
      </c>
      <c r="C6">
        <v>15600</v>
      </c>
      <c r="E6" s="3">
        <v>44200</v>
      </c>
      <c r="F6">
        <v>140</v>
      </c>
      <c r="G6">
        <v>19500</v>
      </c>
    </row>
    <row r="7" spans="1:14" x14ac:dyDescent="0.25">
      <c r="C7">
        <v>25050</v>
      </c>
      <c r="D7">
        <f>SUM(C6:C7)</f>
        <v>40650</v>
      </c>
      <c r="F7">
        <v>1</v>
      </c>
      <c r="G7">
        <v>21500</v>
      </c>
    </row>
    <row r="8" spans="1:14" x14ac:dyDescent="0.25">
      <c r="F8">
        <v>77</v>
      </c>
      <c r="G8">
        <v>20500</v>
      </c>
    </row>
    <row r="9" spans="1:14" x14ac:dyDescent="0.25">
      <c r="B9" s="2" t="s">
        <v>15</v>
      </c>
      <c r="C9">
        <v>1300</v>
      </c>
      <c r="F9">
        <v>52</v>
      </c>
      <c r="G9">
        <v>20500</v>
      </c>
    </row>
    <row r="10" spans="1:14" x14ac:dyDescent="0.25">
      <c r="C10">
        <v>1000</v>
      </c>
      <c r="F10">
        <v>135</v>
      </c>
      <c r="G10">
        <v>19500</v>
      </c>
    </row>
    <row r="11" spans="1:14" x14ac:dyDescent="0.25">
      <c r="C11">
        <v>1400</v>
      </c>
      <c r="F11">
        <v>115</v>
      </c>
      <c r="G11">
        <v>20500</v>
      </c>
    </row>
    <row r="12" spans="1:14" x14ac:dyDescent="0.25">
      <c r="C12">
        <v>2500</v>
      </c>
      <c r="D12">
        <f>SUM(C9:C12)</f>
        <v>6200</v>
      </c>
      <c r="F12">
        <v>137</v>
      </c>
      <c r="G12">
        <v>19500</v>
      </c>
    </row>
    <row r="13" spans="1:14" x14ac:dyDescent="0.25">
      <c r="F13">
        <v>49</v>
      </c>
      <c r="G13">
        <v>20500</v>
      </c>
    </row>
    <row r="14" spans="1:14" x14ac:dyDescent="0.25">
      <c r="B14" s="2" t="s">
        <v>16</v>
      </c>
      <c r="C14">
        <v>3500</v>
      </c>
      <c r="F14">
        <v>89</v>
      </c>
      <c r="G14">
        <v>20500</v>
      </c>
    </row>
    <row r="15" spans="1:14" x14ac:dyDescent="0.25">
      <c r="C15">
        <v>3800</v>
      </c>
      <c r="D15">
        <f>SUM(C14:C15)</f>
        <v>7300</v>
      </c>
      <c r="F15">
        <v>85</v>
      </c>
      <c r="G15">
        <v>20500</v>
      </c>
    </row>
    <row r="16" spans="1:14" x14ac:dyDescent="0.25">
      <c r="F16">
        <v>32</v>
      </c>
      <c r="G16">
        <v>20500</v>
      </c>
    </row>
    <row r="17" spans="1:10" x14ac:dyDescent="0.25">
      <c r="B17" s="2" t="s">
        <v>17</v>
      </c>
      <c r="C17">
        <v>3000</v>
      </c>
      <c r="F17">
        <v>43</v>
      </c>
      <c r="G17">
        <v>20500</v>
      </c>
    </row>
    <row r="18" spans="1:10" x14ac:dyDescent="0.25">
      <c r="C18">
        <v>3000</v>
      </c>
      <c r="D18">
        <f>SUM(C17:C18)</f>
        <v>6000</v>
      </c>
      <c r="F18">
        <v>5</v>
      </c>
      <c r="G18">
        <v>20500</v>
      </c>
    </row>
    <row r="19" spans="1:10" x14ac:dyDescent="0.25">
      <c r="D19">
        <f>SUM(D7:D18)</f>
        <v>60150</v>
      </c>
      <c r="F19">
        <v>191</v>
      </c>
      <c r="G19">
        <v>20500</v>
      </c>
    </row>
    <row r="20" spans="1:10" x14ac:dyDescent="0.25">
      <c r="C20">
        <v>871</v>
      </c>
      <c r="F20">
        <v>59</v>
      </c>
      <c r="G20">
        <v>20500</v>
      </c>
    </row>
    <row r="21" spans="1:10" x14ac:dyDescent="0.25">
      <c r="C21">
        <v>377</v>
      </c>
      <c r="F21">
        <v>184</v>
      </c>
      <c r="G21">
        <v>20000</v>
      </c>
    </row>
    <row r="22" spans="1:10" x14ac:dyDescent="0.25">
      <c r="C22">
        <v>28</v>
      </c>
      <c r="F22">
        <v>131</v>
      </c>
      <c r="G22">
        <v>19500</v>
      </c>
      <c r="H22">
        <f>SUM(G6:G22)</f>
        <v>345000</v>
      </c>
    </row>
    <row r="23" spans="1:10" x14ac:dyDescent="0.25">
      <c r="C23">
        <v>23</v>
      </c>
      <c r="D23">
        <f>SUM(C20:C23)</f>
        <v>1299</v>
      </c>
      <c r="H23" t="s">
        <v>8</v>
      </c>
    </row>
    <row r="24" spans="1:10" x14ac:dyDescent="0.25">
      <c r="F24">
        <v>3250</v>
      </c>
    </row>
    <row r="25" spans="1:10" x14ac:dyDescent="0.25">
      <c r="D25">
        <f>SUM(D7:D23)</f>
        <v>121599</v>
      </c>
      <c r="F25">
        <v>3130</v>
      </c>
      <c r="G25">
        <f>SUM(F24:F25)</f>
        <v>6380</v>
      </c>
    </row>
    <row r="26" spans="1:10" x14ac:dyDescent="0.25">
      <c r="B26" s="2" t="s">
        <v>6</v>
      </c>
      <c r="F26" s="2" t="s">
        <v>12</v>
      </c>
    </row>
    <row r="28" spans="1:10" x14ac:dyDescent="0.25">
      <c r="B28" s="2" t="s">
        <v>9</v>
      </c>
      <c r="D28">
        <v>60150</v>
      </c>
      <c r="F28" s="2" t="s">
        <v>13</v>
      </c>
      <c r="H28">
        <v>345000</v>
      </c>
    </row>
    <row r="29" spans="1:10" x14ac:dyDescent="0.25">
      <c r="B29" s="2" t="s">
        <v>10</v>
      </c>
      <c r="D29">
        <v>1299</v>
      </c>
      <c r="F29" s="2" t="s">
        <v>14</v>
      </c>
      <c r="H29">
        <v>6380</v>
      </c>
    </row>
    <row r="30" spans="1:10" x14ac:dyDescent="0.25">
      <c r="B30" s="2" t="s">
        <v>11</v>
      </c>
      <c r="D30">
        <v>345000</v>
      </c>
    </row>
    <row r="32" spans="1:10" s="11" customFormat="1" ht="21" customHeight="1" x14ac:dyDescent="0.25">
      <c r="A32" s="10" t="s">
        <v>3</v>
      </c>
      <c r="B32" s="10" t="s">
        <v>6</v>
      </c>
      <c r="C32" s="10" t="s">
        <v>4</v>
      </c>
      <c r="D32" s="10" t="s">
        <v>32</v>
      </c>
      <c r="E32" s="10" t="s">
        <v>33</v>
      </c>
      <c r="F32" s="10" t="s">
        <v>3</v>
      </c>
      <c r="G32" s="10" t="s">
        <v>34</v>
      </c>
      <c r="H32" s="10" t="s">
        <v>4</v>
      </c>
      <c r="I32" s="10" t="s">
        <v>32</v>
      </c>
      <c r="J32" s="10" t="s">
        <v>33</v>
      </c>
    </row>
    <row r="33" spans="1:10" s="15" customFormat="1" x14ac:dyDescent="0.25">
      <c r="A33" s="12">
        <v>44197</v>
      </c>
      <c r="B33" s="13"/>
      <c r="C33" s="13"/>
      <c r="D33" s="13"/>
      <c r="E33" s="13">
        <v>173195.73</v>
      </c>
      <c r="F33" s="17">
        <v>44200</v>
      </c>
      <c r="G33" s="10" t="s">
        <v>35</v>
      </c>
      <c r="H33" s="14">
        <v>19500</v>
      </c>
      <c r="I33" s="14"/>
      <c r="J33" s="14"/>
    </row>
    <row r="34" spans="1:10" x14ac:dyDescent="0.25">
      <c r="A34" s="8"/>
      <c r="B34" s="9" t="s">
        <v>5</v>
      </c>
      <c r="C34" s="8">
        <v>15600</v>
      </c>
      <c r="D34" s="8"/>
      <c r="E34" s="8"/>
      <c r="F34" s="17">
        <v>44213</v>
      </c>
      <c r="G34" s="10" t="s">
        <v>36</v>
      </c>
      <c r="H34" s="6">
        <v>21500</v>
      </c>
      <c r="I34" s="6"/>
      <c r="J34" s="6"/>
    </row>
    <row r="35" spans="1:10" x14ac:dyDescent="0.25">
      <c r="A35" s="6"/>
      <c r="B35" s="6"/>
      <c r="C35" s="6">
        <v>25050</v>
      </c>
      <c r="D35" s="6">
        <f>SUM(C34:C35)</f>
        <v>40650</v>
      </c>
      <c r="E35" s="6"/>
      <c r="F35" s="17">
        <v>44278</v>
      </c>
      <c r="G35" s="10" t="s">
        <v>37</v>
      </c>
      <c r="H35" s="6">
        <v>20500</v>
      </c>
      <c r="I35" s="6"/>
      <c r="J35" s="6"/>
    </row>
    <row r="36" spans="1:10" x14ac:dyDescent="0.25">
      <c r="A36" s="6"/>
      <c r="B36" s="6"/>
      <c r="C36" s="6"/>
      <c r="D36" s="6"/>
      <c r="E36" s="6"/>
      <c r="F36" s="17">
        <v>44284</v>
      </c>
      <c r="G36" s="10" t="s">
        <v>38</v>
      </c>
      <c r="H36" s="6">
        <v>20500</v>
      </c>
      <c r="I36" s="6"/>
      <c r="J36" s="6"/>
    </row>
    <row r="37" spans="1:10" x14ac:dyDescent="0.25">
      <c r="A37" s="6"/>
      <c r="B37" s="16" t="s">
        <v>15</v>
      </c>
      <c r="C37" s="6">
        <v>1300</v>
      </c>
      <c r="D37" s="6"/>
      <c r="E37" s="6"/>
      <c r="F37" s="17">
        <v>44297</v>
      </c>
      <c r="G37" s="10" t="s">
        <v>39</v>
      </c>
      <c r="H37" s="6">
        <v>19500</v>
      </c>
      <c r="I37" s="6"/>
      <c r="J37" s="6"/>
    </row>
    <row r="38" spans="1:10" x14ac:dyDescent="0.25">
      <c r="A38" s="6"/>
      <c r="B38" s="6"/>
      <c r="C38" s="6">
        <v>1000</v>
      </c>
      <c r="D38" s="6"/>
      <c r="E38" s="6"/>
      <c r="F38" s="17">
        <v>44305</v>
      </c>
      <c r="G38" s="10" t="s">
        <v>40</v>
      </c>
      <c r="H38" s="6">
        <v>20500</v>
      </c>
      <c r="I38" s="6"/>
      <c r="J38" s="6"/>
    </row>
    <row r="39" spans="1:10" x14ac:dyDescent="0.25">
      <c r="A39" s="6"/>
      <c r="B39" s="6"/>
      <c r="C39" s="6">
        <v>1400</v>
      </c>
      <c r="D39" s="6"/>
      <c r="E39" s="6"/>
      <c r="F39" s="17">
        <v>44309</v>
      </c>
      <c r="G39" s="10" t="s">
        <v>41</v>
      </c>
      <c r="H39" s="6">
        <v>19500</v>
      </c>
      <c r="I39" s="6"/>
      <c r="J39" s="6"/>
    </row>
    <row r="40" spans="1:10" x14ac:dyDescent="0.25">
      <c r="A40" s="6"/>
      <c r="B40" s="6"/>
      <c r="C40" s="6">
        <v>2500</v>
      </c>
      <c r="D40" s="6">
        <f>SUM(C37:C40)</f>
        <v>6200</v>
      </c>
      <c r="E40" s="6"/>
      <c r="F40" s="17">
        <v>44369</v>
      </c>
      <c r="G40" s="10" t="s">
        <v>42</v>
      </c>
      <c r="H40" s="6">
        <v>20500</v>
      </c>
      <c r="I40" s="6"/>
      <c r="J40" s="6"/>
    </row>
    <row r="41" spans="1:10" x14ac:dyDescent="0.25">
      <c r="A41" s="6"/>
      <c r="B41" s="6"/>
      <c r="C41" s="6"/>
      <c r="D41" s="6"/>
      <c r="E41" s="6"/>
      <c r="F41" s="17">
        <v>44369</v>
      </c>
      <c r="G41" s="10" t="s">
        <v>43</v>
      </c>
      <c r="H41" s="6">
        <v>20500</v>
      </c>
      <c r="I41" s="6"/>
      <c r="J41" s="6"/>
    </row>
    <row r="42" spans="1:10" x14ac:dyDescent="0.25">
      <c r="A42" s="6"/>
      <c r="B42" s="6"/>
      <c r="C42" s="6"/>
      <c r="D42" s="6"/>
      <c r="E42" s="6"/>
      <c r="F42" s="17">
        <v>44382</v>
      </c>
      <c r="G42" s="10" t="s">
        <v>44</v>
      </c>
      <c r="H42" s="6">
        <v>20500</v>
      </c>
      <c r="I42" s="6"/>
      <c r="J42" s="6"/>
    </row>
    <row r="43" spans="1:10" x14ac:dyDescent="0.25">
      <c r="A43" s="6"/>
      <c r="B43" s="5" t="s">
        <v>16</v>
      </c>
      <c r="C43" s="6">
        <v>3500</v>
      </c>
      <c r="D43" s="6"/>
      <c r="E43" s="6"/>
      <c r="F43" s="17">
        <v>44383</v>
      </c>
      <c r="G43" s="10" t="s">
        <v>45</v>
      </c>
      <c r="H43" s="6">
        <v>20500</v>
      </c>
      <c r="I43" s="6"/>
      <c r="J43" s="6"/>
    </row>
    <row r="44" spans="1:10" x14ac:dyDescent="0.25">
      <c r="A44" s="6"/>
      <c r="B44" s="6"/>
      <c r="C44" s="6">
        <v>3800</v>
      </c>
      <c r="D44" s="6">
        <f>SUM(C43:C44)</f>
        <v>7300</v>
      </c>
      <c r="E44" s="6"/>
      <c r="F44" s="17">
        <v>44426</v>
      </c>
      <c r="G44" s="10" t="s">
        <v>46</v>
      </c>
      <c r="H44" s="6">
        <v>20500</v>
      </c>
      <c r="I44" s="6"/>
      <c r="J44" s="6"/>
    </row>
    <row r="45" spans="1:10" x14ac:dyDescent="0.25">
      <c r="A45" s="6"/>
      <c r="B45" s="6"/>
      <c r="C45" s="6"/>
      <c r="D45" s="6"/>
      <c r="E45" s="6"/>
      <c r="F45" s="17">
        <v>44472</v>
      </c>
      <c r="G45" s="10" t="s">
        <v>47</v>
      </c>
      <c r="H45" s="6">
        <v>20500</v>
      </c>
      <c r="I45" s="6"/>
      <c r="J45" s="6"/>
    </row>
    <row r="46" spans="1:10" x14ac:dyDescent="0.25">
      <c r="A46" s="6"/>
      <c r="B46" s="16" t="s">
        <v>17</v>
      </c>
      <c r="C46" s="6">
        <v>3000</v>
      </c>
      <c r="D46" s="6"/>
      <c r="E46" s="6"/>
      <c r="F46" s="17">
        <v>44472</v>
      </c>
      <c r="G46" s="10" t="s">
        <v>51</v>
      </c>
      <c r="H46" s="6">
        <v>19500</v>
      </c>
      <c r="I46" s="6"/>
      <c r="J46" s="6"/>
    </row>
    <row r="47" spans="1:10" x14ac:dyDescent="0.25">
      <c r="A47" s="7"/>
      <c r="B47" s="6"/>
      <c r="C47" s="6">
        <v>3000</v>
      </c>
      <c r="D47" s="6">
        <f>SUM(C46:C47)</f>
        <v>6000</v>
      </c>
      <c r="E47" s="6"/>
      <c r="F47" s="17">
        <v>44483</v>
      </c>
      <c r="G47" s="10" t="s">
        <v>48</v>
      </c>
      <c r="H47" s="6">
        <v>20500</v>
      </c>
      <c r="I47" s="6"/>
      <c r="J47" s="6"/>
    </row>
    <row r="48" spans="1:10" x14ac:dyDescent="0.25">
      <c r="A48" s="6"/>
      <c r="B48" s="6"/>
      <c r="C48" s="6"/>
      <c r="D48" s="20">
        <f>SUM(D34:D47)</f>
        <v>60150</v>
      </c>
      <c r="E48" s="6"/>
      <c r="F48" s="17">
        <v>44483</v>
      </c>
      <c r="G48" s="10" t="s">
        <v>49</v>
      </c>
      <c r="H48" s="6">
        <v>20500</v>
      </c>
      <c r="I48" s="6"/>
      <c r="J48" s="6"/>
    </row>
    <row r="49" spans="1:10" x14ac:dyDescent="0.25">
      <c r="B49" s="16" t="s">
        <v>53</v>
      </c>
      <c r="C49" s="6"/>
      <c r="D49" s="6"/>
      <c r="E49" s="6"/>
      <c r="F49" s="17">
        <v>44538</v>
      </c>
      <c r="G49" s="10" t="s">
        <v>50</v>
      </c>
      <c r="H49" s="6">
        <v>20000</v>
      </c>
      <c r="I49" s="20">
        <f>SUM(H33:H49)</f>
        <v>345000</v>
      </c>
      <c r="J49" s="6"/>
    </row>
    <row r="50" spans="1:10" x14ac:dyDescent="0.25">
      <c r="A50" s="18">
        <v>44200</v>
      </c>
      <c r="B50" s="6"/>
      <c r="C50" s="6"/>
      <c r="D50" s="6">
        <v>19000</v>
      </c>
      <c r="E50" s="6"/>
      <c r="F50" s="6"/>
      <c r="G50" s="10"/>
      <c r="H50" s="6"/>
      <c r="I50" s="6"/>
      <c r="J50" s="6"/>
    </row>
    <row r="51" spans="1:10" x14ac:dyDescent="0.25">
      <c r="A51" s="18">
        <v>44213</v>
      </c>
      <c r="B51" s="6"/>
      <c r="C51" s="6"/>
      <c r="D51" s="6">
        <v>20000</v>
      </c>
      <c r="E51" s="6"/>
      <c r="F51" s="18"/>
      <c r="G51" s="9" t="s">
        <v>5</v>
      </c>
      <c r="H51" s="6"/>
      <c r="I51" s="6"/>
      <c r="J51" s="8">
        <v>15600</v>
      </c>
    </row>
    <row r="52" spans="1:10" x14ac:dyDescent="0.25">
      <c r="A52" s="18">
        <v>44278</v>
      </c>
      <c r="B52" s="6"/>
      <c r="C52" s="6"/>
      <c r="D52" s="6">
        <v>20500</v>
      </c>
      <c r="E52" s="6"/>
      <c r="F52" s="18"/>
      <c r="G52" s="6"/>
      <c r="H52" s="6"/>
      <c r="I52" s="6"/>
      <c r="J52" s="6">
        <v>25050</v>
      </c>
    </row>
    <row r="53" spans="1:10" x14ac:dyDescent="0.25">
      <c r="A53" s="18">
        <v>44284</v>
      </c>
      <c r="B53" s="6"/>
      <c r="C53" s="6"/>
      <c r="D53" s="6">
        <v>20500</v>
      </c>
      <c r="E53" s="6"/>
      <c r="F53" s="18"/>
      <c r="G53" s="6"/>
      <c r="H53" s="6"/>
      <c r="I53" s="6"/>
      <c r="J53" s="6"/>
    </row>
    <row r="54" spans="1:10" x14ac:dyDescent="0.25">
      <c r="A54" s="18">
        <v>44297</v>
      </c>
      <c r="B54" s="6"/>
      <c r="C54" s="6"/>
      <c r="D54" s="6">
        <v>19500</v>
      </c>
      <c r="E54" s="6"/>
      <c r="F54" s="18"/>
      <c r="G54" s="16" t="s">
        <v>15</v>
      </c>
      <c r="H54" s="6"/>
      <c r="I54" s="6"/>
      <c r="J54" s="6">
        <v>1300</v>
      </c>
    </row>
    <row r="55" spans="1:10" x14ac:dyDescent="0.25">
      <c r="A55" s="18">
        <v>44305</v>
      </c>
      <c r="B55" s="6"/>
      <c r="C55" s="6"/>
      <c r="D55" s="6">
        <v>20500</v>
      </c>
      <c r="E55" s="6"/>
      <c r="F55" s="18"/>
      <c r="G55" s="6"/>
      <c r="H55" s="6"/>
      <c r="I55" s="6"/>
      <c r="J55" s="6">
        <v>1000</v>
      </c>
    </row>
    <row r="56" spans="1:10" x14ac:dyDescent="0.25">
      <c r="A56" s="18">
        <v>44309</v>
      </c>
      <c r="B56" s="6"/>
      <c r="C56" s="6"/>
      <c r="D56" s="6">
        <v>19500</v>
      </c>
      <c r="E56" s="6"/>
      <c r="F56" s="18"/>
      <c r="G56" s="6"/>
      <c r="H56" s="6"/>
      <c r="I56" s="6"/>
      <c r="J56" s="6">
        <v>1400</v>
      </c>
    </row>
    <row r="57" spans="1:10" x14ac:dyDescent="0.25">
      <c r="A57" s="18">
        <v>44369</v>
      </c>
      <c r="B57" s="6"/>
      <c r="C57" s="6"/>
      <c r="D57" s="6">
        <v>41000</v>
      </c>
      <c r="E57" s="6"/>
      <c r="F57" s="18"/>
      <c r="G57" s="6"/>
      <c r="H57" s="6"/>
      <c r="I57" s="6"/>
      <c r="J57" s="6">
        <v>2500</v>
      </c>
    </row>
    <row r="58" spans="1:10" x14ac:dyDescent="0.25">
      <c r="A58" s="18">
        <v>44382</v>
      </c>
      <c r="B58" s="6"/>
      <c r="C58" s="6"/>
      <c r="D58" s="6">
        <v>20500</v>
      </c>
      <c r="E58" s="6"/>
      <c r="F58" s="18"/>
      <c r="G58" s="6"/>
      <c r="H58" s="6"/>
      <c r="I58" s="6"/>
      <c r="J58" s="6"/>
    </row>
    <row r="59" spans="1:10" x14ac:dyDescent="0.25">
      <c r="A59" s="18">
        <v>44383</v>
      </c>
      <c r="B59" s="6"/>
      <c r="C59" s="6"/>
      <c r="D59" s="6">
        <v>20500</v>
      </c>
      <c r="E59" s="6"/>
      <c r="F59" s="18"/>
      <c r="G59" s="6"/>
      <c r="H59" s="6"/>
      <c r="I59" s="6"/>
      <c r="J59" s="6"/>
    </row>
    <row r="60" spans="1:10" x14ac:dyDescent="0.25">
      <c r="A60" s="18">
        <v>44421</v>
      </c>
      <c r="B60" s="6"/>
      <c r="C60" s="6"/>
      <c r="D60" s="6">
        <v>4000</v>
      </c>
      <c r="E60" s="6"/>
      <c r="F60" s="18"/>
      <c r="G60" s="5" t="s">
        <v>16</v>
      </c>
      <c r="H60" s="6"/>
      <c r="I60" s="6"/>
      <c r="J60" s="6">
        <v>3500</v>
      </c>
    </row>
    <row r="61" spans="1:10" x14ac:dyDescent="0.25">
      <c r="A61" s="18">
        <v>44426</v>
      </c>
      <c r="B61" s="6"/>
      <c r="C61" s="6"/>
      <c r="D61" s="6">
        <v>20500</v>
      </c>
      <c r="E61" s="6"/>
      <c r="F61" s="18"/>
      <c r="G61" s="6"/>
      <c r="H61" s="6"/>
      <c r="I61" s="6"/>
      <c r="J61" s="6">
        <v>3800</v>
      </c>
    </row>
    <row r="62" spans="1:10" x14ac:dyDescent="0.25">
      <c r="A62" s="18">
        <v>44473</v>
      </c>
      <c r="B62" s="6"/>
      <c r="C62" s="6"/>
      <c r="D62" s="6">
        <v>40000</v>
      </c>
      <c r="E62" s="6"/>
      <c r="F62" s="18"/>
      <c r="G62" s="6"/>
      <c r="H62" s="6"/>
      <c r="I62" s="6"/>
      <c r="J62" s="6"/>
    </row>
    <row r="63" spans="1:10" x14ac:dyDescent="0.25">
      <c r="A63" s="18">
        <v>44490</v>
      </c>
      <c r="B63" s="6"/>
      <c r="C63" s="6"/>
      <c r="D63" s="6">
        <v>18500</v>
      </c>
      <c r="E63" s="6"/>
      <c r="F63" s="18"/>
      <c r="G63" s="16" t="s">
        <v>17</v>
      </c>
      <c r="H63" s="6"/>
      <c r="I63" s="6"/>
      <c r="J63" s="6">
        <v>3000</v>
      </c>
    </row>
    <row r="64" spans="1:10" x14ac:dyDescent="0.25">
      <c r="A64" s="18">
        <v>44483</v>
      </c>
      <c r="B64" s="6"/>
      <c r="C64" s="6"/>
      <c r="D64" s="19">
        <v>20500</v>
      </c>
      <c r="E64" s="6"/>
      <c r="F64" s="18"/>
      <c r="G64" s="6"/>
      <c r="H64" s="6"/>
      <c r="I64" s="6"/>
      <c r="J64" s="6">
        <v>3000</v>
      </c>
    </row>
    <row r="65" spans="1:10" x14ac:dyDescent="0.25">
      <c r="A65" s="18">
        <v>44537</v>
      </c>
      <c r="B65" s="6"/>
      <c r="C65" s="6"/>
      <c r="D65" s="19">
        <v>20000</v>
      </c>
      <c r="E65" s="6"/>
      <c r="F65" s="18"/>
      <c r="G65" s="6"/>
      <c r="H65" s="6"/>
      <c r="I65" s="6"/>
      <c r="J65" s="20">
        <f>SUM(J51:J64)</f>
        <v>60150</v>
      </c>
    </row>
    <row r="66" spans="1:10" x14ac:dyDescent="0.25">
      <c r="A66" s="6"/>
      <c r="B66" s="6"/>
      <c r="C66" s="6"/>
      <c r="D66" s="20">
        <f>SUM(D50:D65)</f>
        <v>345000</v>
      </c>
      <c r="E66" s="6"/>
      <c r="F66" s="18"/>
      <c r="G66" s="6"/>
      <c r="H66" s="6"/>
      <c r="I66" s="6"/>
      <c r="J66" s="6"/>
    </row>
    <row r="67" spans="1:10" x14ac:dyDescent="0.25">
      <c r="A67" s="6"/>
      <c r="B67" s="16" t="s">
        <v>52</v>
      </c>
      <c r="C67" s="6"/>
      <c r="D67" s="6"/>
      <c r="E67" s="6"/>
      <c r="F67" s="18"/>
      <c r="G67" s="6"/>
      <c r="H67" s="6"/>
      <c r="I67" s="6"/>
      <c r="J67" s="6"/>
    </row>
    <row r="68" spans="1:10" x14ac:dyDescent="0.25">
      <c r="A68" s="18">
        <v>44207</v>
      </c>
      <c r="B68" s="6"/>
      <c r="C68" s="6"/>
      <c r="D68" s="6"/>
      <c r="E68" s="6">
        <v>9000</v>
      </c>
      <c r="F68" s="18"/>
      <c r="G68" s="6"/>
      <c r="H68" s="6"/>
      <c r="I68" s="6"/>
      <c r="J68" s="6"/>
    </row>
    <row r="69" spans="1:10" x14ac:dyDescent="0.25">
      <c r="A69" s="18">
        <v>44228</v>
      </c>
      <c r="B69" s="6"/>
      <c r="C69" s="6"/>
      <c r="D69" s="6"/>
      <c r="E69" s="6">
        <v>14000</v>
      </c>
      <c r="F69" s="18"/>
      <c r="G69" s="6"/>
      <c r="H69" s="6"/>
      <c r="I69" s="6"/>
      <c r="J69" s="6"/>
    </row>
    <row r="70" spans="1:10" x14ac:dyDescent="0.25">
      <c r="A70" s="18">
        <v>44295</v>
      </c>
      <c r="B70" s="6"/>
      <c r="C70" s="6"/>
      <c r="D70" s="6"/>
      <c r="E70" s="6">
        <v>10000</v>
      </c>
      <c r="F70" s="18"/>
      <c r="G70" s="6"/>
      <c r="H70" s="6"/>
      <c r="I70" s="6"/>
      <c r="J70" s="6"/>
    </row>
    <row r="71" spans="1:10" x14ac:dyDescent="0.25">
      <c r="A71" s="18">
        <v>44305</v>
      </c>
      <c r="B71" s="6"/>
      <c r="C71" s="6"/>
      <c r="D71" s="6"/>
      <c r="E71" s="6">
        <v>2700</v>
      </c>
      <c r="F71" s="18"/>
      <c r="G71" s="6"/>
      <c r="H71" s="6"/>
      <c r="I71" s="6"/>
      <c r="J71" s="6"/>
    </row>
    <row r="72" spans="1:10" x14ac:dyDescent="0.25">
      <c r="A72" s="18">
        <v>44309</v>
      </c>
      <c r="B72" s="6"/>
      <c r="C72" s="6"/>
      <c r="D72" s="6"/>
      <c r="E72" s="6">
        <v>1500</v>
      </c>
      <c r="F72" s="18"/>
      <c r="G72" s="16"/>
      <c r="H72" s="6"/>
      <c r="I72" s="6"/>
    </row>
    <row r="73" spans="1:10" x14ac:dyDescent="0.25">
      <c r="A73" s="18">
        <v>44318</v>
      </c>
      <c r="B73" s="6"/>
      <c r="C73" s="6"/>
      <c r="D73" s="6"/>
      <c r="E73" s="6">
        <v>12000</v>
      </c>
      <c r="F73" s="18"/>
      <c r="G73" s="6"/>
      <c r="H73" s="6"/>
      <c r="I73" s="6"/>
      <c r="J73" s="6"/>
    </row>
    <row r="74" spans="1:10" x14ac:dyDescent="0.25">
      <c r="A74" s="18">
        <v>44326</v>
      </c>
      <c r="B74" s="6"/>
      <c r="C74" s="6"/>
      <c r="D74" s="6"/>
      <c r="E74" s="6">
        <v>7500</v>
      </c>
      <c r="F74" s="18"/>
      <c r="G74" s="6"/>
      <c r="H74" s="6"/>
      <c r="I74" s="6"/>
      <c r="J74" s="6"/>
    </row>
    <row r="75" spans="1:10" x14ac:dyDescent="0.25">
      <c r="A75" s="18">
        <v>44382</v>
      </c>
      <c r="B75" s="6"/>
      <c r="C75" s="6"/>
      <c r="D75" s="6"/>
      <c r="E75" s="6">
        <v>1500</v>
      </c>
      <c r="F75" s="18"/>
      <c r="G75" s="6"/>
      <c r="H75" s="6"/>
      <c r="I75" s="6"/>
      <c r="J75" s="6"/>
    </row>
    <row r="76" spans="1:10" x14ac:dyDescent="0.25">
      <c r="A76" s="18">
        <v>44383</v>
      </c>
      <c r="B76" s="6"/>
      <c r="C76" s="6"/>
      <c r="D76" s="6"/>
      <c r="E76" s="6">
        <v>1500</v>
      </c>
      <c r="F76" s="18"/>
      <c r="G76" s="6"/>
      <c r="H76" s="6"/>
      <c r="I76" s="6"/>
      <c r="J76" s="6"/>
    </row>
    <row r="77" spans="1:10" x14ac:dyDescent="0.25">
      <c r="A77" s="18">
        <v>44389</v>
      </c>
      <c r="B77" s="9" t="s">
        <v>5</v>
      </c>
      <c r="D77" s="6"/>
      <c r="E77" s="6">
        <v>15600</v>
      </c>
      <c r="F77" s="18"/>
      <c r="G77" s="6"/>
      <c r="H77" s="6"/>
      <c r="I77" s="6"/>
      <c r="J77" s="6"/>
    </row>
    <row r="78" spans="1:10" x14ac:dyDescent="0.25">
      <c r="A78" s="18">
        <v>44426</v>
      </c>
      <c r="B78" s="5" t="s">
        <v>16</v>
      </c>
      <c r="D78" s="6"/>
      <c r="E78" s="6">
        <v>3500</v>
      </c>
      <c r="F78" s="18"/>
      <c r="G78" s="6"/>
      <c r="H78" s="6"/>
      <c r="I78" s="6"/>
      <c r="J78" s="6"/>
    </row>
    <row r="79" spans="1:10" x14ac:dyDescent="0.25">
      <c r="A79" s="18">
        <v>44473</v>
      </c>
      <c r="B79" s="16" t="s">
        <v>15</v>
      </c>
      <c r="D79" s="6"/>
      <c r="E79" s="6">
        <v>4450</v>
      </c>
      <c r="F79" s="18"/>
      <c r="G79" s="6"/>
      <c r="H79" s="6"/>
      <c r="I79" s="6"/>
      <c r="J79" s="6"/>
    </row>
    <row r="80" spans="1:10" x14ac:dyDescent="0.25">
      <c r="A80" s="18">
        <v>44473</v>
      </c>
      <c r="B80" s="16" t="s">
        <v>15</v>
      </c>
      <c r="D80" s="6"/>
      <c r="E80" s="6">
        <v>33900</v>
      </c>
      <c r="F80" s="6"/>
      <c r="G80" s="6"/>
      <c r="H80" s="6"/>
      <c r="I80" s="6"/>
      <c r="J80" s="6"/>
    </row>
    <row r="81" spans="1:10" x14ac:dyDescent="0.25">
      <c r="A81" s="18">
        <v>44473</v>
      </c>
      <c r="B81" s="16" t="s">
        <v>15</v>
      </c>
      <c r="D81" s="6"/>
      <c r="E81" s="6">
        <v>10350</v>
      </c>
      <c r="F81" s="6"/>
      <c r="G81" s="6"/>
      <c r="H81" s="6"/>
      <c r="I81" s="6"/>
      <c r="J81" s="6"/>
    </row>
    <row r="82" spans="1:10" x14ac:dyDescent="0.25">
      <c r="A82" s="18">
        <v>44473</v>
      </c>
      <c r="B82" s="16" t="s">
        <v>15</v>
      </c>
      <c r="D82" s="6"/>
      <c r="E82" s="6">
        <v>1300</v>
      </c>
      <c r="F82" s="6"/>
      <c r="G82" s="6"/>
      <c r="H82" s="6"/>
      <c r="I82" s="6"/>
      <c r="J82" s="6"/>
    </row>
    <row r="83" spans="1:10" x14ac:dyDescent="0.25">
      <c r="A83" s="18">
        <v>44480</v>
      </c>
      <c r="B83" s="16" t="s">
        <v>15</v>
      </c>
      <c r="D83" s="6"/>
      <c r="E83" s="6">
        <v>1000</v>
      </c>
      <c r="F83" s="6"/>
      <c r="G83" s="6"/>
      <c r="H83" s="6"/>
      <c r="I83" s="6"/>
      <c r="J83" s="6"/>
    </row>
    <row r="84" spans="1:10" x14ac:dyDescent="0.25">
      <c r="A84" s="18">
        <v>44480</v>
      </c>
      <c r="B84" s="9" t="s">
        <v>5</v>
      </c>
      <c r="D84" s="6"/>
      <c r="E84" s="6">
        <v>25050</v>
      </c>
      <c r="F84" s="6"/>
      <c r="G84" s="6"/>
      <c r="H84" s="6"/>
      <c r="I84" s="6"/>
      <c r="J84" s="6"/>
    </row>
    <row r="85" spans="1:10" x14ac:dyDescent="0.25">
      <c r="A85" s="18">
        <v>44480</v>
      </c>
      <c r="B85" s="16" t="s">
        <v>15</v>
      </c>
      <c r="D85" s="6"/>
      <c r="E85" s="6">
        <v>1400</v>
      </c>
      <c r="F85" s="6"/>
      <c r="G85" s="6"/>
      <c r="H85" s="6"/>
      <c r="I85" s="6"/>
      <c r="J85" s="6"/>
    </row>
    <row r="86" spans="1:10" x14ac:dyDescent="0.25">
      <c r="A86" s="18">
        <v>44483</v>
      </c>
      <c r="B86" s="16" t="s">
        <v>15</v>
      </c>
      <c r="D86" s="6"/>
      <c r="E86" s="6">
        <v>2500</v>
      </c>
      <c r="F86" s="6"/>
      <c r="G86" s="6"/>
      <c r="H86" s="6"/>
      <c r="I86" s="6"/>
      <c r="J86" s="6"/>
    </row>
    <row r="87" spans="1:10" x14ac:dyDescent="0.25">
      <c r="A87" s="18">
        <v>44537</v>
      </c>
      <c r="B87" s="5" t="s">
        <v>16</v>
      </c>
      <c r="D87" s="6"/>
      <c r="E87" s="6">
        <v>3800</v>
      </c>
      <c r="F87" s="6"/>
      <c r="G87" s="6"/>
      <c r="H87" s="6"/>
      <c r="I87" s="6"/>
      <c r="J87" s="6"/>
    </row>
    <row r="88" spans="1:10" x14ac:dyDescent="0.25">
      <c r="A88" s="18">
        <v>44537</v>
      </c>
      <c r="B88" s="16" t="s">
        <v>15</v>
      </c>
      <c r="D88" s="6"/>
      <c r="E88" s="6">
        <v>11000</v>
      </c>
      <c r="F88" s="6"/>
      <c r="G88" s="6"/>
      <c r="H88" s="6"/>
      <c r="I88" s="6"/>
      <c r="J88" s="6"/>
    </row>
    <row r="89" spans="1:10" x14ac:dyDescent="0.25">
      <c r="A89" s="18"/>
      <c r="B89" s="6"/>
      <c r="C89" s="6"/>
      <c r="D89" s="6"/>
      <c r="E89" s="20">
        <f>SUM(E33:E88)</f>
        <v>346745.73</v>
      </c>
      <c r="F89" s="6"/>
      <c r="G89" s="6"/>
      <c r="H89" s="6"/>
      <c r="I89" s="6"/>
      <c r="J89" s="6"/>
    </row>
    <row r="90" spans="1:10" x14ac:dyDescent="0.25">
      <c r="A90" s="18">
        <v>44286</v>
      </c>
      <c r="B90" s="16" t="s">
        <v>10</v>
      </c>
      <c r="C90" s="6"/>
      <c r="D90" s="6"/>
      <c r="E90" s="6">
        <v>871</v>
      </c>
      <c r="F90" s="6"/>
      <c r="G90" s="6"/>
      <c r="H90" s="6"/>
      <c r="I90" s="6"/>
      <c r="J90" s="6"/>
    </row>
    <row r="91" spans="1:10" x14ac:dyDescent="0.25">
      <c r="A91" s="18">
        <v>44377</v>
      </c>
      <c r="B91" s="6"/>
      <c r="C91" s="6"/>
      <c r="D91" s="6"/>
      <c r="E91" s="6">
        <v>377</v>
      </c>
      <c r="F91" s="6"/>
      <c r="G91" s="6"/>
      <c r="H91" s="6"/>
      <c r="I91" s="6"/>
      <c r="J91" s="6"/>
    </row>
    <row r="92" spans="1:10" x14ac:dyDescent="0.25">
      <c r="A92" s="18">
        <v>44469</v>
      </c>
      <c r="B92" s="6"/>
      <c r="C92" s="6"/>
      <c r="D92" s="6"/>
      <c r="E92" s="6">
        <v>28</v>
      </c>
      <c r="F92" s="6"/>
      <c r="G92" s="6"/>
      <c r="H92" s="6"/>
      <c r="I92" s="6"/>
      <c r="J92" s="6"/>
    </row>
    <row r="93" spans="1:10" x14ac:dyDescent="0.25">
      <c r="A93" s="18">
        <v>44560</v>
      </c>
      <c r="B93" s="6"/>
      <c r="C93" s="6"/>
      <c r="D93" s="6"/>
      <c r="E93" s="6">
        <v>23</v>
      </c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>
        <f>SUM(E90:E93)</f>
        <v>1299</v>
      </c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20">
        <f>SUM(E94,E89)</f>
        <v>348044.73</v>
      </c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9" spans="1:10" x14ac:dyDescent="0.25">
      <c r="H99" s="21"/>
    </row>
    <row r="100" spans="1:10" x14ac:dyDescent="0.25">
      <c r="A100" s="10" t="s">
        <v>3</v>
      </c>
      <c r="B100" s="10" t="s">
        <v>6</v>
      </c>
      <c r="C100" s="10" t="s">
        <v>4</v>
      </c>
      <c r="D100" s="10" t="s">
        <v>32</v>
      </c>
      <c r="E100" s="10" t="s">
        <v>33</v>
      </c>
      <c r="F100" s="10" t="s">
        <v>3</v>
      </c>
      <c r="G100" s="10" t="s">
        <v>34</v>
      </c>
      <c r="H100" s="10" t="s">
        <v>4</v>
      </c>
      <c r="I100" s="10" t="s">
        <v>32</v>
      </c>
      <c r="J100" s="10" t="s">
        <v>33</v>
      </c>
    </row>
    <row r="101" spans="1:10" x14ac:dyDescent="0.25">
      <c r="A101" s="18">
        <v>44562</v>
      </c>
      <c r="B101" s="23" t="s">
        <v>54</v>
      </c>
      <c r="C101" s="13"/>
      <c r="D101" s="13"/>
      <c r="E101" s="13">
        <v>3044.73</v>
      </c>
      <c r="F101" s="17">
        <v>44582</v>
      </c>
      <c r="G101" s="10" t="s">
        <v>55</v>
      </c>
      <c r="H101" s="6">
        <v>20500</v>
      </c>
      <c r="I101" s="14"/>
      <c r="J101" s="14"/>
    </row>
    <row r="102" spans="1:10" x14ac:dyDescent="0.25">
      <c r="A102" s="18">
        <v>44581</v>
      </c>
      <c r="B102" s="23" t="s">
        <v>5</v>
      </c>
      <c r="C102" s="23"/>
      <c r="D102" s="6"/>
      <c r="E102" s="6">
        <v>10000</v>
      </c>
      <c r="F102" s="17">
        <v>44592</v>
      </c>
      <c r="G102" s="10" t="s">
        <v>59</v>
      </c>
      <c r="H102" s="6">
        <v>20500</v>
      </c>
      <c r="I102" s="6"/>
      <c r="J102" s="6"/>
    </row>
    <row r="103" spans="1:10" x14ac:dyDescent="0.25">
      <c r="A103" s="18">
        <v>44582</v>
      </c>
      <c r="B103" s="23" t="s">
        <v>16</v>
      </c>
      <c r="C103" s="23"/>
      <c r="D103" s="6"/>
      <c r="E103" s="6">
        <v>1200</v>
      </c>
      <c r="F103" s="17">
        <v>44732</v>
      </c>
      <c r="G103" s="10" t="s">
        <v>60</v>
      </c>
      <c r="H103" s="6">
        <v>20500</v>
      </c>
      <c r="I103" s="6"/>
      <c r="J103" s="6"/>
    </row>
    <row r="104" spans="1:10" x14ac:dyDescent="0.25">
      <c r="A104" s="18">
        <v>44582</v>
      </c>
      <c r="B104" s="10" t="s">
        <v>15</v>
      </c>
      <c r="C104" s="10"/>
      <c r="D104" s="6"/>
      <c r="E104" s="6">
        <v>3000</v>
      </c>
      <c r="F104" s="17">
        <v>44746</v>
      </c>
      <c r="G104" s="10" t="s">
        <v>61</v>
      </c>
      <c r="H104" s="6">
        <v>20500</v>
      </c>
      <c r="I104" s="6"/>
      <c r="J104" s="6"/>
    </row>
    <row r="105" spans="1:10" x14ac:dyDescent="0.25">
      <c r="A105" s="18">
        <v>44582</v>
      </c>
      <c r="B105" s="10" t="s">
        <v>15</v>
      </c>
      <c r="C105" s="10"/>
      <c r="D105" s="6"/>
      <c r="E105" s="6">
        <v>23200</v>
      </c>
      <c r="F105" s="17">
        <v>44750</v>
      </c>
      <c r="G105" s="10" t="s">
        <v>62</v>
      </c>
      <c r="H105" s="6">
        <v>20500</v>
      </c>
      <c r="I105" s="6"/>
      <c r="J105" s="6"/>
    </row>
    <row r="106" spans="1:10" x14ac:dyDescent="0.25">
      <c r="A106" s="18">
        <v>44592</v>
      </c>
      <c r="B106" s="10" t="s">
        <v>15</v>
      </c>
      <c r="C106" s="10"/>
      <c r="D106" s="6"/>
      <c r="E106" s="6">
        <v>9600</v>
      </c>
      <c r="F106" s="17">
        <v>44757</v>
      </c>
      <c r="G106" s="10" t="s">
        <v>56</v>
      </c>
      <c r="H106" s="6">
        <v>22500</v>
      </c>
      <c r="I106" s="6"/>
      <c r="J106" s="6"/>
    </row>
    <row r="107" spans="1:10" x14ac:dyDescent="0.25">
      <c r="A107" s="18">
        <v>44592</v>
      </c>
      <c r="B107" s="10" t="s">
        <v>15</v>
      </c>
      <c r="C107" s="10"/>
      <c r="D107" s="6"/>
      <c r="E107" s="6">
        <v>23300</v>
      </c>
      <c r="F107" s="17">
        <v>44767</v>
      </c>
      <c r="G107" s="10" t="s">
        <v>63</v>
      </c>
      <c r="H107" s="6">
        <v>19500</v>
      </c>
      <c r="I107" s="6"/>
      <c r="J107" s="6"/>
    </row>
    <row r="108" spans="1:10" x14ac:dyDescent="0.25">
      <c r="A108" s="18">
        <v>44634</v>
      </c>
      <c r="B108" s="10" t="s">
        <v>17</v>
      </c>
      <c r="C108" s="10"/>
      <c r="D108" s="6"/>
      <c r="E108" s="6">
        <v>3000</v>
      </c>
      <c r="F108" s="17">
        <v>44770</v>
      </c>
      <c r="G108" s="10" t="s">
        <v>57</v>
      </c>
      <c r="H108" s="6">
        <v>20500</v>
      </c>
      <c r="I108" s="6"/>
      <c r="J108" s="6"/>
    </row>
    <row r="109" spans="1:10" x14ac:dyDescent="0.25">
      <c r="A109" s="18">
        <v>44746</v>
      </c>
      <c r="B109" s="10" t="s">
        <v>15</v>
      </c>
      <c r="C109" s="10"/>
      <c r="D109" s="6"/>
      <c r="E109" s="6">
        <v>5000</v>
      </c>
      <c r="F109" s="17">
        <v>44781</v>
      </c>
      <c r="G109" s="10" t="s">
        <v>64</v>
      </c>
      <c r="H109" s="6">
        <v>21500</v>
      </c>
      <c r="I109" s="6"/>
      <c r="J109" s="6"/>
    </row>
    <row r="110" spans="1:10" x14ac:dyDescent="0.25">
      <c r="A110" s="18">
        <v>44746</v>
      </c>
      <c r="B110" s="23" t="s">
        <v>16</v>
      </c>
      <c r="C110" s="23"/>
      <c r="D110" s="6"/>
      <c r="E110" s="6">
        <v>9500</v>
      </c>
      <c r="F110" s="17">
        <v>44788</v>
      </c>
      <c r="G110" s="10" t="s">
        <v>65</v>
      </c>
      <c r="H110" s="6">
        <v>19500</v>
      </c>
      <c r="I110" s="6"/>
      <c r="J110" s="6"/>
    </row>
    <row r="111" spans="1:10" x14ac:dyDescent="0.25">
      <c r="A111" s="18">
        <v>44750</v>
      </c>
      <c r="B111" s="10" t="s">
        <v>15</v>
      </c>
      <c r="C111" s="10"/>
      <c r="D111" s="6"/>
      <c r="E111" s="6">
        <v>14000</v>
      </c>
      <c r="F111" s="17">
        <v>44818</v>
      </c>
      <c r="G111" s="10" t="s">
        <v>66</v>
      </c>
      <c r="H111" s="6">
        <v>21500</v>
      </c>
      <c r="I111" s="6"/>
      <c r="J111" s="6"/>
    </row>
    <row r="112" spans="1:10" x14ac:dyDescent="0.25">
      <c r="A112" s="18">
        <v>44757</v>
      </c>
      <c r="B112" s="10" t="s">
        <v>15</v>
      </c>
      <c r="C112" s="10"/>
      <c r="D112" s="6"/>
      <c r="E112" s="6">
        <v>20800</v>
      </c>
      <c r="F112" s="17">
        <v>44887</v>
      </c>
      <c r="G112" s="10" t="s">
        <v>67</v>
      </c>
      <c r="H112" s="6">
        <v>20500</v>
      </c>
      <c r="I112" s="6"/>
      <c r="J112" s="6"/>
    </row>
    <row r="113" spans="1:10" x14ac:dyDescent="0.25">
      <c r="A113" s="18">
        <v>44760</v>
      </c>
      <c r="B113" s="10" t="s">
        <v>15</v>
      </c>
      <c r="C113" s="10"/>
      <c r="D113" s="6"/>
      <c r="E113" s="6">
        <v>40800</v>
      </c>
      <c r="F113" s="17">
        <v>44911</v>
      </c>
      <c r="G113" s="10" t="s">
        <v>68</v>
      </c>
      <c r="H113" s="6">
        <v>20500</v>
      </c>
      <c r="I113" s="6"/>
      <c r="J113" s="6"/>
    </row>
    <row r="114" spans="1:10" x14ac:dyDescent="0.25">
      <c r="A114" s="18">
        <v>44767</v>
      </c>
      <c r="B114" s="10" t="s">
        <v>15</v>
      </c>
      <c r="C114" s="10"/>
      <c r="D114" s="6"/>
      <c r="E114" s="6">
        <v>9600</v>
      </c>
      <c r="F114" s="17">
        <v>44920</v>
      </c>
      <c r="G114" s="10" t="s">
        <v>69</v>
      </c>
      <c r="H114" s="6">
        <v>21500</v>
      </c>
      <c r="I114" s="6"/>
      <c r="J114" s="6"/>
    </row>
    <row r="115" spans="1:10" x14ac:dyDescent="0.25">
      <c r="A115" s="18">
        <v>44770</v>
      </c>
      <c r="B115" s="10" t="s">
        <v>15</v>
      </c>
      <c r="C115" s="10"/>
      <c r="D115" s="6"/>
      <c r="E115" s="6">
        <v>12100</v>
      </c>
      <c r="F115" s="17">
        <v>44926</v>
      </c>
      <c r="G115" s="10" t="s">
        <v>58</v>
      </c>
      <c r="H115" s="6">
        <v>21500</v>
      </c>
      <c r="I115" s="6"/>
      <c r="J115" s="6"/>
    </row>
    <row r="116" spans="1:10" x14ac:dyDescent="0.25">
      <c r="A116" s="18">
        <v>44770</v>
      </c>
      <c r="B116" s="23" t="s">
        <v>5</v>
      </c>
      <c r="C116" s="23"/>
      <c r="D116" s="6"/>
      <c r="E116" s="6">
        <v>20000</v>
      </c>
      <c r="F116" s="17"/>
      <c r="G116" s="10"/>
      <c r="H116" s="20">
        <f>SUM(H101:H115)</f>
        <v>311500</v>
      </c>
      <c r="I116" s="6"/>
      <c r="J116" s="6"/>
    </row>
    <row r="117" spans="1:10" x14ac:dyDescent="0.25">
      <c r="A117" s="18">
        <v>44771</v>
      </c>
      <c r="B117" s="10" t="s">
        <v>17</v>
      </c>
      <c r="C117" s="10"/>
      <c r="D117" s="6"/>
      <c r="E117" s="6">
        <v>3000</v>
      </c>
      <c r="F117" s="17"/>
      <c r="G117" s="10"/>
      <c r="H117" s="6"/>
      <c r="I117" s="6"/>
      <c r="J117" s="6"/>
    </row>
    <row r="118" spans="1:10" x14ac:dyDescent="0.25">
      <c r="A118" s="18">
        <v>44782</v>
      </c>
      <c r="B118" s="10" t="s">
        <v>15</v>
      </c>
      <c r="C118" s="10"/>
      <c r="D118" s="6"/>
      <c r="E118" s="6">
        <v>10000</v>
      </c>
      <c r="F118" s="17"/>
      <c r="G118" s="10"/>
      <c r="H118" s="6"/>
      <c r="I118" s="6"/>
      <c r="J118" s="6"/>
    </row>
    <row r="119" spans="1:10" x14ac:dyDescent="0.25">
      <c r="A119" s="18">
        <v>44785</v>
      </c>
      <c r="B119" s="10" t="s">
        <v>15</v>
      </c>
      <c r="C119" s="10"/>
      <c r="D119" s="6"/>
      <c r="E119" s="6">
        <v>16000</v>
      </c>
      <c r="F119" s="17"/>
      <c r="G119" s="10"/>
      <c r="H119" s="6"/>
      <c r="I119" s="6"/>
      <c r="J119" s="6"/>
    </row>
    <row r="120" spans="1:10" x14ac:dyDescent="0.25">
      <c r="A120" s="18">
        <v>44798</v>
      </c>
      <c r="B120" s="10" t="s">
        <v>17</v>
      </c>
      <c r="C120" s="10"/>
      <c r="D120" s="6"/>
      <c r="E120" s="6">
        <v>6000</v>
      </c>
      <c r="F120" s="17"/>
      <c r="G120" s="10"/>
      <c r="H120" s="6"/>
      <c r="I120" s="6"/>
      <c r="J120" s="6"/>
    </row>
    <row r="121" spans="1:10" x14ac:dyDescent="0.25">
      <c r="A121" s="18">
        <v>44810</v>
      </c>
      <c r="B121" s="10" t="s">
        <v>17</v>
      </c>
      <c r="C121" s="10"/>
      <c r="D121" s="6"/>
      <c r="E121" s="6">
        <v>3000</v>
      </c>
      <c r="F121" s="6"/>
      <c r="G121" s="6"/>
      <c r="H121" s="18"/>
      <c r="I121" s="6"/>
      <c r="J121" s="6"/>
    </row>
    <row r="122" spans="1:10" x14ac:dyDescent="0.25">
      <c r="A122" s="18">
        <v>44909</v>
      </c>
      <c r="B122" s="23" t="s">
        <v>16</v>
      </c>
      <c r="C122" s="23"/>
      <c r="D122" s="6"/>
      <c r="E122" s="6">
        <v>4200</v>
      </c>
      <c r="F122" s="6"/>
      <c r="G122" s="6"/>
      <c r="H122" s="6"/>
      <c r="I122" s="6"/>
      <c r="J122" s="6"/>
    </row>
    <row r="123" spans="1:10" x14ac:dyDescent="0.25">
      <c r="A123" s="18">
        <v>44911</v>
      </c>
      <c r="B123" s="10" t="s">
        <v>15</v>
      </c>
      <c r="C123" s="10"/>
      <c r="D123" s="6"/>
      <c r="E123" s="6">
        <v>20400</v>
      </c>
      <c r="F123" s="6"/>
      <c r="G123" s="6"/>
      <c r="H123" s="6"/>
      <c r="I123" s="6"/>
      <c r="J123" s="6"/>
    </row>
    <row r="124" spans="1:10" x14ac:dyDescent="0.25">
      <c r="A124" s="18">
        <v>44922</v>
      </c>
      <c r="B124" s="23" t="s">
        <v>5</v>
      </c>
      <c r="C124" s="23"/>
      <c r="D124" s="6"/>
      <c r="E124" s="6">
        <v>15050</v>
      </c>
      <c r="F124" s="6"/>
      <c r="G124" s="6"/>
      <c r="H124" s="6"/>
      <c r="I124" s="6"/>
      <c r="J124" s="6"/>
    </row>
    <row r="125" spans="1:10" x14ac:dyDescent="0.25">
      <c r="A125" s="18">
        <v>44924</v>
      </c>
      <c r="B125" s="23" t="s">
        <v>16</v>
      </c>
      <c r="C125" s="23"/>
      <c r="D125" s="6"/>
      <c r="E125" s="6">
        <v>500</v>
      </c>
      <c r="F125" s="6"/>
      <c r="G125" s="6"/>
      <c r="H125" s="6"/>
      <c r="I125" s="6"/>
      <c r="J125" s="6"/>
    </row>
    <row r="126" spans="1:10" x14ac:dyDescent="0.25">
      <c r="A126" s="18">
        <v>44924</v>
      </c>
      <c r="B126" s="10" t="s">
        <v>15</v>
      </c>
      <c r="C126" s="10"/>
      <c r="D126" s="6"/>
      <c r="E126" s="6">
        <v>10000</v>
      </c>
      <c r="F126" s="6"/>
      <c r="G126" s="6"/>
      <c r="H126" s="6"/>
      <c r="I126" s="6"/>
      <c r="J126" s="6"/>
    </row>
    <row r="127" spans="1:10" x14ac:dyDescent="0.25">
      <c r="A127" s="18">
        <v>44928</v>
      </c>
      <c r="B127" s="10"/>
      <c r="C127" s="10"/>
      <c r="D127" s="6"/>
      <c r="E127" s="6">
        <v>2000</v>
      </c>
      <c r="F127" s="6"/>
      <c r="G127" s="6"/>
      <c r="H127" s="6"/>
      <c r="I127" s="6"/>
      <c r="J127" s="6"/>
    </row>
    <row r="128" spans="1:10" x14ac:dyDescent="0.25">
      <c r="A128" s="18">
        <v>44928</v>
      </c>
      <c r="B128" s="10"/>
      <c r="C128" s="10"/>
      <c r="D128" s="6"/>
      <c r="E128" s="6">
        <v>10500</v>
      </c>
      <c r="F128" s="6"/>
      <c r="G128" s="6"/>
      <c r="H128" s="6"/>
      <c r="I128" s="6"/>
      <c r="J128" s="6"/>
    </row>
    <row r="129" spans="1:10" x14ac:dyDescent="0.25">
      <c r="A129" s="18"/>
      <c r="B129" s="10"/>
      <c r="C129" s="10"/>
      <c r="D129" s="6"/>
      <c r="E129" s="6"/>
      <c r="F129" s="6"/>
      <c r="G129" s="6"/>
      <c r="H129" s="6"/>
      <c r="I129" s="6"/>
      <c r="J129" s="6"/>
    </row>
    <row r="130" spans="1:10" x14ac:dyDescent="0.25">
      <c r="A130" s="18"/>
      <c r="B130" s="6"/>
      <c r="C130" s="6"/>
      <c r="D130" s="6"/>
      <c r="E130" s="20">
        <f>SUM(E101:E128)</f>
        <v>308794.73</v>
      </c>
      <c r="F130" s="6"/>
      <c r="G130" s="6"/>
      <c r="H130" s="6"/>
      <c r="I130" s="6"/>
      <c r="J130" s="6"/>
    </row>
    <row r="131" spans="1:10" x14ac:dyDescent="0.25">
      <c r="A131" s="18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18"/>
      <c r="B132" s="16" t="s">
        <v>10</v>
      </c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18">
        <v>44572</v>
      </c>
      <c r="B133" s="6"/>
      <c r="C133" s="6"/>
      <c r="D133" s="6"/>
      <c r="E133" s="6">
        <v>5000</v>
      </c>
      <c r="F133" s="6"/>
      <c r="G133" s="6"/>
      <c r="H133" s="6"/>
      <c r="I133" s="6"/>
      <c r="J133" s="6"/>
    </row>
    <row r="134" spans="1:10" x14ac:dyDescent="0.25">
      <c r="A134" s="18">
        <v>44651</v>
      </c>
      <c r="B134" s="6"/>
      <c r="C134" s="6"/>
      <c r="D134" s="6"/>
      <c r="E134" s="6">
        <v>23</v>
      </c>
      <c r="F134" s="6"/>
      <c r="G134" s="6"/>
      <c r="H134" s="6"/>
      <c r="I134" s="6"/>
      <c r="J134" s="6"/>
    </row>
    <row r="135" spans="1:10" x14ac:dyDescent="0.25">
      <c r="A135" s="18">
        <v>44741</v>
      </c>
      <c r="B135" s="6"/>
      <c r="C135" s="6"/>
      <c r="D135" s="6"/>
      <c r="E135" s="6">
        <v>224</v>
      </c>
      <c r="F135" s="6"/>
      <c r="G135" s="6"/>
      <c r="H135" s="6"/>
      <c r="I135" s="6"/>
      <c r="J135" s="6"/>
    </row>
    <row r="136" spans="1:10" x14ac:dyDescent="0.25">
      <c r="A136" s="18">
        <v>44834</v>
      </c>
      <c r="B136" s="6"/>
      <c r="C136" s="6"/>
      <c r="D136" s="6"/>
      <c r="E136" s="6">
        <v>52</v>
      </c>
      <c r="F136" s="6"/>
      <c r="G136" s="6"/>
      <c r="H136" s="6"/>
      <c r="I136" s="6"/>
      <c r="J136" s="6"/>
    </row>
    <row r="137" spans="1:10" x14ac:dyDescent="0.25">
      <c r="A137" s="18">
        <v>44925</v>
      </c>
      <c r="B137" s="6"/>
      <c r="C137" s="6"/>
      <c r="D137" s="6"/>
      <c r="E137" s="6">
        <v>7</v>
      </c>
      <c r="F137" s="6"/>
      <c r="G137" s="6"/>
      <c r="H137" s="6"/>
      <c r="I137" s="6"/>
      <c r="J137" s="6"/>
    </row>
    <row r="138" spans="1:10" x14ac:dyDescent="0.25">
      <c r="A138" s="18"/>
      <c r="B138" s="6"/>
      <c r="C138" s="6"/>
      <c r="D138" s="6"/>
      <c r="E138" s="20">
        <f>SUM(E133:E137)</f>
        <v>5306</v>
      </c>
      <c r="F138" s="6"/>
      <c r="G138" s="6"/>
      <c r="H138" s="6"/>
      <c r="I138" s="6"/>
      <c r="J138" s="6"/>
    </row>
    <row r="139" spans="1:10" x14ac:dyDescent="0.25">
      <c r="A139" s="18"/>
      <c r="B139" s="6"/>
      <c r="C139" s="6"/>
      <c r="D139" s="6"/>
      <c r="E139" s="20">
        <f>SUM(E130:E137)</f>
        <v>314100.73</v>
      </c>
      <c r="F139" s="6"/>
      <c r="G139" s="6"/>
      <c r="H139" s="6"/>
      <c r="I139" s="6"/>
      <c r="J139" s="6"/>
    </row>
    <row r="140" spans="1:10" x14ac:dyDescent="0.25">
      <c r="A140" s="18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18"/>
      <c r="B141" s="16" t="s">
        <v>53</v>
      </c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18">
        <v>44582</v>
      </c>
      <c r="B142" s="6"/>
      <c r="C142" s="6"/>
      <c r="D142" s="6"/>
      <c r="E142" s="6">
        <v>20500</v>
      </c>
      <c r="F142" s="6"/>
      <c r="G142" s="6"/>
      <c r="H142" s="6"/>
      <c r="I142" s="6"/>
      <c r="J142" s="6"/>
    </row>
    <row r="143" spans="1:10" x14ac:dyDescent="0.25">
      <c r="A143" s="18">
        <v>44592</v>
      </c>
      <c r="B143" s="6"/>
      <c r="C143" s="6"/>
      <c r="D143" s="6"/>
      <c r="E143" s="6">
        <v>20500</v>
      </c>
      <c r="F143" s="6"/>
      <c r="G143" s="6"/>
      <c r="H143" s="6"/>
      <c r="I143" s="6"/>
      <c r="J143" s="6"/>
    </row>
    <row r="144" spans="1:10" x14ac:dyDescent="0.25">
      <c r="A144" s="18">
        <v>44732</v>
      </c>
      <c r="B144" s="6"/>
      <c r="C144" s="6"/>
      <c r="D144" s="6"/>
      <c r="E144" s="6">
        <v>20500</v>
      </c>
      <c r="F144" s="6"/>
      <c r="G144" s="6"/>
      <c r="H144" s="6"/>
      <c r="I144" s="6"/>
      <c r="J144" s="6"/>
    </row>
    <row r="145" spans="1:10" x14ac:dyDescent="0.25">
      <c r="A145" s="18">
        <v>44746</v>
      </c>
      <c r="B145" s="6"/>
      <c r="C145" s="6"/>
      <c r="D145" s="6"/>
      <c r="E145" s="6">
        <v>20500</v>
      </c>
      <c r="F145" s="6"/>
      <c r="G145" s="6"/>
      <c r="H145" s="6"/>
      <c r="I145" s="6"/>
      <c r="J145" s="6"/>
    </row>
    <row r="146" spans="1:10" x14ac:dyDescent="0.25">
      <c r="A146" s="18">
        <v>44750</v>
      </c>
      <c r="B146" s="6"/>
      <c r="C146" s="6"/>
      <c r="D146" s="6"/>
      <c r="E146" s="6">
        <v>20500</v>
      </c>
      <c r="F146" s="6"/>
      <c r="G146" s="6"/>
      <c r="H146" s="6"/>
      <c r="I146" s="6"/>
      <c r="J146" s="6"/>
    </row>
    <row r="147" spans="1:10" x14ac:dyDescent="0.25">
      <c r="A147" s="18">
        <v>44757</v>
      </c>
      <c r="B147" s="6"/>
      <c r="C147" s="6"/>
      <c r="D147" s="6"/>
      <c r="E147" s="6">
        <v>22500</v>
      </c>
      <c r="F147" s="6"/>
      <c r="G147" s="6"/>
      <c r="H147" s="6"/>
      <c r="I147" s="6"/>
      <c r="J147" s="6"/>
    </row>
    <row r="148" spans="1:10" x14ac:dyDescent="0.25">
      <c r="A148" s="18">
        <v>44767</v>
      </c>
      <c r="B148" s="6"/>
      <c r="C148" s="6"/>
      <c r="D148" s="6"/>
      <c r="E148" s="6">
        <v>19500</v>
      </c>
      <c r="F148" s="6"/>
      <c r="G148" s="6"/>
      <c r="H148" s="6"/>
      <c r="I148" s="6"/>
      <c r="J148" s="6"/>
    </row>
    <row r="149" spans="1:10" x14ac:dyDescent="0.25">
      <c r="A149" s="18">
        <v>44770</v>
      </c>
      <c r="B149" s="6"/>
      <c r="C149" s="6"/>
      <c r="D149" s="6"/>
      <c r="E149" s="6">
        <v>20500</v>
      </c>
      <c r="F149" s="6"/>
      <c r="G149" s="6"/>
      <c r="H149" s="6"/>
      <c r="I149" s="6"/>
      <c r="J149" s="6"/>
    </row>
    <row r="150" spans="1:10" x14ac:dyDescent="0.25">
      <c r="A150" s="18">
        <v>44788</v>
      </c>
      <c r="B150" s="6"/>
      <c r="C150" s="6"/>
      <c r="D150" s="6"/>
      <c r="E150" s="6">
        <v>41000</v>
      </c>
      <c r="F150" s="6"/>
      <c r="G150" s="6"/>
      <c r="H150" s="6"/>
      <c r="I150" s="6"/>
      <c r="J150" s="6"/>
    </row>
    <row r="151" spans="1:10" x14ac:dyDescent="0.25">
      <c r="A151" s="18">
        <v>44818</v>
      </c>
      <c r="B151" s="6"/>
      <c r="C151" s="6"/>
      <c r="D151" s="6"/>
      <c r="E151" s="6">
        <v>21500</v>
      </c>
      <c r="F151" s="6"/>
      <c r="G151" s="6"/>
      <c r="H151" s="6"/>
      <c r="I151" s="6"/>
      <c r="J151" s="6"/>
    </row>
    <row r="152" spans="1:10" x14ac:dyDescent="0.25">
      <c r="A152" s="18">
        <v>44886</v>
      </c>
      <c r="B152" s="6"/>
      <c r="C152" s="6"/>
      <c r="D152" s="6"/>
      <c r="E152" s="6">
        <v>21500</v>
      </c>
      <c r="F152" s="6"/>
      <c r="G152" s="6"/>
      <c r="H152" s="6"/>
      <c r="I152" s="6"/>
      <c r="J152" s="6"/>
    </row>
    <row r="153" spans="1:10" x14ac:dyDescent="0.25">
      <c r="A153" s="22">
        <v>44911</v>
      </c>
      <c r="B153" s="6"/>
      <c r="C153" s="6"/>
      <c r="D153" s="6"/>
      <c r="E153" s="6">
        <v>20500</v>
      </c>
      <c r="F153" s="6"/>
      <c r="G153" s="6"/>
      <c r="H153" s="6"/>
      <c r="I153" s="6"/>
      <c r="J153" s="6"/>
    </row>
    <row r="154" spans="1:10" x14ac:dyDescent="0.25">
      <c r="A154" s="18">
        <v>44924</v>
      </c>
      <c r="B154" s="6"/>
      <c r="C154" s="6"/>
      <c r="D154" s="6"/>
      <c r="E154" s="6">
        <v>21500</v>
      </c>
      <c r="F154" s="6"/>
      <c r="G154" s="6"/>
      <c r="H154" s="6"/>
      <c r="I154" s="6"/>
      <c r="J154" s="6"/>
    </row>
    <row r="155" spans="1:10" x14ac:dyDescent="0.25">
      <c r="A155" s="18">
        <v>44928</v>
      </c>
      <c r="B155" s="6"/>
      <c r="C155" s="6"/>
      <c r="D155" s="6"/>
      <c r="E155" s="6">
        <v>21500</v>
      </c>
      <c r="F155" s="6"/>
      <c r="G155" s="6"/>
      <c r="H155" s="6"/>
      <c r="I155" s="6"/>
      <c r="J155" s="6"/>
    </row>
    <row r="156" spans="1:10" x14ac:dyDescent="0.25">
      <c r="A156" s="18"/>
      <c r="B156" s="6"/>
      <c r="C156" s="6"/>
      <c r="D156" s="6"/>
      <c r="E156" s="20">
        <f>SUM(E142:E155)</f>
        <v>312500</v>
      </c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spans="1:10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spans="1:10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spans="1:10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spans="1:10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spans="1:10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spans="1:10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spans="1:10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spans="1:10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spans="1:10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spans="1:10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spans="1:10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spans="1:10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spans="1:10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spans="1:10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spans="1:10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spans="1:10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spans="1:10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spans="1:10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spans="1:10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spans="1:10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spans="1:10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0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0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0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0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0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</row>
  </sheetData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2023-03-18T11:31:06Z</dcterms:created>
  <dcterms:modified xsi:type="dcterms:W3CDTF">2023-03-18T19:47:33Z</dcterms:modified>
</cp:coreProperties>
</file>